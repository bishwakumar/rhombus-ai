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xpected vs Actual" sheetId="2" state="visible" r:id="rId4"/>
    <sheet name="Log Timeline" sheetId="3" state="visible" r:id="rId5"/>
    <sheet name="Log Observa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First full minute after the last logged run (3:19:54 PM). Source: Rhombus execution log, 3 Oct 2026.</t>
        </r>
      </text>
    </comment>
    <comment ref="B3" authorId="0">
      <text>
        <r>
          <rPr>
            <sz val="10"/>
            <rFont val="Arial"/>
            <family val="2"/>
          </rPr>
          <t xml:space="preserve">Manual run started 5:02:02 PM. Source: Rhombus execution log, 3 Oct 2026.</t>
        </r>
      </text>
    </comment>
  </commentList>
</comments>
</file>

<file path=xl/sharedStrings.xml><?xml version="1.0" encoding="utf-8"?>
<sst xmlns="http://schemas.openxmlformats.org/spreadsheetml/2006/main" count="71" uniqueCount="64">
  <si>
    <t xml:space="preserve">Rhombus AI – Scheduler Evidence</t>
  </si>
  <si>
    <t xml:space="preserve">Finding</t>
  </si>
  <si>
    <t xml:space="preserve">Scheduler never triggers runs</t>
  </si>
  <si>
    <t xml:space="preserve">Severity</t>
  </si>
  <si>
    <t xml:space="preserve">High</t>
  </si>
  <si>
    <t xml:space="preserve">Summary</t>
  </si>
  <si>
    <t xml:space="preserve">With three schedules active (*/2, */5, hourly at :01), the execution log shows no activity between 3:19:54 PM and 5:02:02 PM. A manual run at 5:02 PM, one minute after the missed 5:01 hourly run, completed successfully. Schedules continued to show Active, no failure notification was sent, and the log records nothing about the missed runs.</t>
  </si>
  <si>
    <t xml:space="preserve">Expected scheduled runs</t>
  </si>
  <si>
    <t xml:space="preserve">Actual scheduled runs</t>
  </si>
  <si>
    <t xml:space="preserve">Missed runs</t>
  </si>
  <si>
    <t xml:space="preserve">Conclusion</t>
  </si>
  <si>
    <t xml:space="preserve">The scheduler never started a run (not a case of runs starting and failing). Cause is platform-side or a plan limitation; manual runs of the same pipeline succeed.</t>
  </si>
  <si>
    <t xml:space="preserve">Sheets</t>
  </si>
  <si>
    <t xml:space="preserve">Expected vs Actual: run counts per schedule (formulas). Log Timeline: raw execution log. Log Observations: what the logs reveal or omit.</t>
  </si>
  <si>
    <t xml:space="preserve">Observation window</t>
  </si>
  <si>
    <t xml:space="preserve">Window start</t>
  </si>
  <si>
    <t xml:space="preserve">Window end (exclusive)</t>
  </si>
  <si>
    <t xml:space="preserve">Window length (minutes)</t>
  </si>
  <si>
    <t xml:space="preserve">Schedule (cron)</t>
  </si>
  <si>
    <t xml:space="preserve">Interval (min)</t>
  </si>
  <si>
    <t xml:space="preserve">Minute offset</t>
  </si>
  <si>
    <t xml:space="preserve">Expected runs</t>
  </si>
  <si>
    <t xml:space="preserve">Actual runs</t>
  </si>
  <si>
    <t xml:space="preserve">Notes</t>
  </si>
  <si>
    <t xml:space="preserve">*/5 * * * *</t>
  </si>
  <si>
    <t xml:space="preserve">Showed 'Next run: in 3 mins', then blank after that time passed</t>
  </si>
  <si>
    <t xml:space="preserve">*/2 * * * *</t>
  </si>
  <si>
    <t xml:space="preserve">Never showed a next run time</t>
  </si>
  <si>
    <t xml:space="preserve">Hourly, at minute 01</t>
  </si>
  <si>
    <t xml:space="preserve">Showed 'Next run: in 28 secs', then blank; no run at 4:01 or 5:01 PM</t>
  </si>
  <si>
    <t xml:space="preserve">Total</t>
  </si>
  <si>
    <t xml:space="preserve">Expected runs = number of times in the window whose minute-of-day matches the schedule (interval and offset). Blue cells are inputs from observation; black cells are formulas.</t>
  </si>
  <si>
    <t xml:space="preserve">Time</t>
  </si>
  <si>
    <t xml:space="preserve">Log message</t>
  </si>
  <si>
    <t xml:space="preserve">Trigger</t>
  </si>
  <si>
    <t xml:space="preserve">Note</t>
  </si>
  <si>
    <t xml:space="preserve">Pipeline execution started.</t>
  </si>
  <si>
    <t xml:space="preserve">Unknown (not shown in log)</t>
  </si>
  <si>
    <t xml:space="preserve">Started and finished in the same second; no 'Applied transformation' line</t>
  </si>
  <si>
    <t xml:space="preserve">Pipeline execution completed successfully.</t>
  </si>
  <si>
    <t xml:space="preserve">Check GCS for an output file from 3:19 PM</t>
  </si>
  <si>
    <t xml:space="preserve">— No entries between 3:19:54 PM and 5:02:02 PM —</t>
  </si>
  <si>
    <t xml:space="preserve">Window where ~70 scheduled runs were expected</t>
  </si>
  <si>
    <t xml:space="preserve">Manual</t>
  </si>
  <si>
    <t xml:space="preserve">Triggered with the ▶ button</t>
  </si>
  <si>
    <t xml:space="preserve">Pipeline completed successfully</t>
  </si>
  <si>
    <t xml:space="preserve">Applied transformation: Custom (mode: code). Impact: 242 row(s) affected, 406 cell(s) modified.</t>
  </si>
  <si>
    <t xml:space="preserve">Does not mention the 18 duplicate rows removed (283 → 265)</t>
  </si>
  <si>
    <t xml:space="preserve">#</t>
  </si>
  <si>
    <t xml:space="preserve">Observation</t>
  </si>
  <si>
    <t xml:space="preserve">Why it matters</t>
  </si>
  <si>
    <t xml:space="preserve">Evidence</t>
  </si>
  <si>
    <t xml:space="preserve">The 3:19:54 PM run started and finished in the same second, with no 'Applied transformation' line.</t>
  </si>
  <si>
    <t xml:space="preserve">The run may have done nothing while still reporting success.</t>
  </si>
  <si>
    <t xml:space="preserve">Log Timeline rows 2–3; check GCS for a 3:19 PM output file</t>
  </si>
  <si>
    <t xml:space="preserve">The log reports '242 row(s) affected, 406 cell(s) modified' but not that 18 duplicate rows were removed (283 → 265).</t>
  </si>
  <si>
    <t xml:space="preserve">A customer reading the log wouldn't know rows were deleted.</t>
  </si>
  <si>
    <t xml:space="preserve">Log Timeline row 8; source 283 rows vs output 265 rows</t>
  </si>
  <si>
    <t xml:space="preserve">Log entries don't say what triggered the run (manual or scheduled).</t>
  </si>
  <si>
    <t xml:space="preserve">Scheduled vs manual behaviour had to be worked out by elimination.</t>
  </si>
  <si>
    <t xml:space="preserve">All log entries</t>
  </si>
  <si>
    <t xml:space="preserve">Nothing is logged when a schedule fails to fire.</t>
  </si>
  <si>
    <t xml:space="preserve">The scheduler failure leaves no trace for a customer to investigate.</t>
  </si>
  <si>
    <t xml:space="preserve">Gap from 3:19:54 PM to 5:02:02 PM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</si>
</sst>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\ AM/PM"/>
    <numFmt numFmtId="166" formatCode="h:mm:ss\ AM/PM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52.2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n">
        <f aca="false">'Expected vs Actual'!D9</f>
        <v>74</v>
      </c>
    </row>
    <row r="7" customFormat="false" ht="15" hidden="false" customHeight="false" outlineLevel="0" collapsed="false">
      <c r="A7" s="2" t="s">
        <v>8</v>
      </c>
      <c r="B7" s="3" t="n">
        <f aca="false">'Expected vs Actual'!E9</f>
        <v>0</v>
      </c>
    </row>
    <row r="8" customFormat="false" ht="15" hidden="false" customHeight="false" outlineLevel="0" collapsed="false">
      <c r="A8" s="2" t="s">
        <v>9</v>
      </c>
      <c r="B8" s="3" t="n">
        <f aca="false">'Expected vs Actual'!F9</f>
        <v>74</v>
      </c>
    </row>
    <row r="9" customFormat="false" ht="26.85" hidden="false" customHeight="false" outlineLevel="0" collapsed="false">
      <c r="A9" s="2" t="s">
        <v>10</v>
      </c>
      <c r="B9" s="3" t="s">
        <v>11</v>
      </c>
    </row>
    <row r="10" customFormat="false" ht="15" hidden="false" customHeight="false" outlineLevel="0" collapsed="false">
      <c r="A10" s="3"/>
      <c r="B10" s="3"/>
    </row>
    <row r="11" customFormat="false" ht="26.85" hidden="false" customHeight="false" outlineLevel="0" collapsed="false">
      <c r="A11" s="2" t="s">
        <v>12</v>
      </c>
      <c r="B11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4" t="s">
        <v>14</v>
      </c>
    </row>
    <row r="2" customFormat="false" ht="15" hidden="false" customHeight="false" outlineLevel="0" collapsed="false">
      <c r="A2" s="5" t="s">
        <v>15</v>
      </c>
      <c r="B2" s="6" t="n">
        <v>0.638888888888889</v>
      </c>
    </row>
    <row r="3" customFormat="false" ht="15" hidden="false" customHeight="false" outlineLevel="0" collapsed="false">
      <c r="A3" s="5" t="s">
        <v>16</v>
      </c>
      <c r="B3" s="6" t="n">
        <v>0.709722222222222</v>
      </c>
    </row>
    <row r="4" customFormat="false" ht="15" hidden="false" customHeight="false" outlineLevel="0" collapsed="false">
      <c r="A4" s="5" t="s">
        <v>17</v>
      </c>
      <c r="B4" s="5" t="n">
        <f aca="false">ROUND((B3-B2)*1440,0)</f>
        <v>102</v>
      </c>
    </row>
    <row r="5" customFormat="false" ht="26.85" hidden="false" customHeight="false" outlineLevel="0" collapsed="false">
      <c r="A5" s="7" t="s">
        <v>18</v>
      </c>
      <c r="B5" s="7" t="s">
        <v>19</v>
      </c>
      <c r="C5" s="7" t="s">
        <v>20</v>
      </c>
      <c r="D5" s="7" t="s">
        <v>21</v>
      </c>
      <c r="E5" s="7" t="s">
        <v>22</v>
      </c>
      <c r="F5" s="7" t="s">
        <v>9</v>
      </c>
      <c r="G5" s="7" t="s">
        <v>23</v>
      </c>
    </row>
    <row r="6" customFormat="false" ht="15" hidden="false" customHeight="false" outlineLevel="0" collapsed="false">
      <c r="A6" s="8" t="s">
        <v>24</v>
      </c>
      <c r="B6" s="9" t="n">
        <v>5</v>
      </c>
      <c r="C6" s="9" t="n">
        <v>0</v>
      </c>
      <c r="D6" s="8" t="n">
        <f aca="false">FLOOR((ROUND($B$3*1440,0)-1-C6)/B6,1)-CEILING((ROUND($B$2*1440,0)-C6)/B6,1)+1</f>
        <v>21</v>
      </c>
      <c r="E6" s="9" t="n">
        <v>0</v>
      </c>
      <c r="F6" s="8" t="n">
        <f aca="false">D6-E6</f>
        <v>21</v>
      </c>
      <c r="G6" s="8" t="s">
        <v>25</v>
      </c>
    </row>
    <row r="7" customFormat="false" ht="15" hidden="false" customHeight="false" outlineLevel="0" collapsed="false">
      <c r="A7" s="8" t="s">
        <v>26</v>
      </c>
      <c r="B7" s="9" t="n">
        <v>2</v>
      </c>
      <c r="C7" s="9" t="n">
        <v>0</v>
      </c>
      <c r="D7" s="8" t="n">
        <f aca="false">FLOOR((ROUND($B$3*1440,0)-1-C7)/B7,1)-CEILING((ROUND($B$2*1440,0)-C7)/B7,1)+1</f>
        <v>51</v>
      </c>
      <c r="E7" s="9" t="n">
        <v>0</v>
      </c>
      <c r="F7" s="8" t="n">
        <f aca="false">D7-E7</f>
        <v>51</v>
      </c>
      <c r="G7" s="8" t="s">
        <v>27</v>
      </c>
    </row>
    <row r="8" customFormat="false" ht="26.85" hidden="false" customHeight="false" outlineLevel="0" collapsed="false">
      <c r="A8" s="8" t="s">
        <v>28</v>
      </c>
      <c r="B8" s="9" t="n">
        <v>60</v>
      </c>
      <c r="C8" s="9" t="n">
        <v>1</v>
      </c>
      <c r="D8" s="8" t="n">
        <f aca="false">FLOOR((ROUND($B$3*1440,0)-1-C8)/B8,1)-CEILING((ROUND($B$2*1440,0)-C8)/B8,1)+1</f>
        <v>2</v>
      </c>
      <c r="E8" s="9" t="n">
        <v>0</v>
      </c>
      <c r="F8" s="8" t="n">
        <f aca="false">D8-E8</f>
        <v>2</v>
      </c>
      <c r="G8" s="8" t="s">
        <v>29</v>
      </c>
    </row>
    <row r="9" customFormat="false" ht="15" hidden="false" customHeight="false" outlineLevel="0" collapsed="false">
      <c r="A9" s="10" t="s">
        <v>30</v>
      </c>
      <c r="B9" s="10"/>
      <c r="C9" s="10"/>
      <c r="D9" s="10" t="n">
        <f aca="false">SUM(D6:D8)</f>
        <v>74</v>
      </c>
      <c r="E9" s="10" t="n">
        <f aca="false">SUM(E6:E8)</f>
        <v>0</v>
      </c>
      <c r="F9" s="10" t="n">
        <f aca="false">SUM(F6:F8)</f>
        <v>74</v>
      </c>
      <c r="G9" s="10"/>
    </row>
    <row r="11" customFormat="false" ht="30" hidden="false" customHeight="true" outlineLevel="0" collapsed="false">
      <c r="A11" s="11" t="s">
        <v>31</v>
      </c>
      <c r="B11" s="11"/>
      <c r="C11" s="11"/>
      <c r="D11" s="11"/>
      <c r="E11" s="11"/>
      <c r="F11" s="11"/>
      <c r="G11" s="11"/>
    </row>
  </sheetData>
  <mergeCells count="1"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26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</row>
    <row r="2" customFormat="false" ht="26.85" hidden="false" customHeight="false" outlineLevel="0" collapsed="false">
      <c r="A2" s="12" t="n">
        <v>0.638819444444445</v>
      </c>
      <c r="B2" s="8" t="s">
        <v>36</v>
      </c>
      <c r="C2" s="8" t="s">
        <v>37</v>
      </c>
      <c r="D2" s="8" t="s">
        <v>38</v>
      </c>
    </row>
    <row r="3" customFormat="false" ht="26.85" hidden="false" customHeight="false" outlineLevel="0" collapsed="false">
      <c r="A3" s="12" t="n">
        <v>0.638819444444445</v>
      </c>
      <c r="B3" s="8" t="s">
        <v>39</v>
      </c>
      <c r="C3" s="8" t="s">
        <v>37</v>
      </c>
      <c r="D3" s="8" t="s">
        <v>40</v>
      </c>
    </row>
    <row r="4" customFormat="false" ht="15" hidden="false" customHeight="false" outlineLevel="0" collapsed="false">
      <c r="A4" s="13"/>
      <c r="B4" s="13" t="s">
        <v>41</v>
      </c>
      <c r="C4" s="13"/>
      <c r="D4" s="13" t="s">
        <v>42</v>
      </c>
    </row>
    <row r="5" customFormat="false" ht="15" hidden="false" customHeight="false" outlineLevel="0" collapsed="false">
      <c r="A5" s="12" t="n">
        <v>0.70974537037037</v>
      </c>
      <c r="B5" s="8" t="s">
        <v>36</v>
      </c>
      <c r="C5" s="8" t="s">
        <v>43</v>
      </c>
      <c r="D5" s="8" t="s">
        <v>44</v>
      </c>
    </row>
    <row r="6" customFormat="false" ht="15" hidden="false" customHeight="false" outlineLevel="0" collapsed="false">
      <c r="A6" s="12" t="n">
        <v>0.709791666666667</v>
      </c>
      <c r="B6" s="8" t="s">
        <v>39</v>
      </c>
      <c r="C6" s="8" t="s">
        <v>43</v>
      </c>
      <c r="D6" s="8"/>
    </row>
    <row r="7" customFormat="false" ht="15" hidden="false" customHeight="false" outlineLevel="0" collapsed="false">
      <c r="A7" s="12" t="n">
        <v>0.709791666666667</v>
      </c>
      <c r="B7" s="8" t="s">
        <v>45</v>
      </c>
      <c r="C7" s="8" t="s">
        <v>43</v>
      </c>
      <c r="D7" s="8"/>
    </row>
    <row r="8" customFormat="false" ht="26.85" hidden="false" customHeight="false" outlineLevel="0" collapsed="false">
      <c r="A8" s="12" t="n">
        <v>0.709791666666667</v>
      </c>
      <c r="B8" s="8" t="s">
        <v>46</v>
      </c>
      <c r="C8" s="8" t="s">
        <v>43</v>
      </c>
      <c r="D8" s="8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50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7" t="s">
        <v>48</v>
      </c>
      <c r="B1" s="7" t="s">
        <v>49</v>
      </c>
      <c r="C1" s="7" t="s">
        <v>50</v>
      </c>
      <c r="D1" s="7" t="s">
        <v>51</v>
      </c>
    </row>
    <row r="2" customFormat="false" ht="26.85" hidden="false" customHeight="false" outlineLevel="0" collapsed="false">
      <c r="A2" s="8" t="n">
        <v>1</v>
      </c>
      <c r="B2" s="8" t="s">
        <v>52</v>
      </c>
      <c r="C2" s="8" t="s">
        <v>53</v>
      </c>
      <c r="D2" s="8" t="s">
        <v>54</v>
      </c>
    </row>
    <row r="3" customFormat="false" ht="26.85" hidden="false" customHeight="false" outlineLevel="0" collapsed="false">
      <c r="A3" s="8" t="n">
        <v>2</v>
      </c>
      <c r="B3" s="8" t="s">
        <v>55</v>
      </c>
      <c r="C3" s="8" t="s">
        <v>56</v>
      </c>
      <c r="D3" s="8" t="s">
        <v>57</v>
      </c>
    </row>
    <row r="4" customFormat="false" ht="26.85" hidden="false" customHeight="false" outlineLevel="0" collapsed="false">
      <c r="A4" s="8" t="n">
        <v>3</v>
      </c>
      <c r="B4" s="8" t="s">
        <v>58</v>
      </c>
      <c r="C4" s="8" t="s">
        <v>59</v>
      </c>
      <c r="D4" s="8" t="s">
        <v>60</v>
      </c>
    </row>
    <row r="5" customFormat="false" ht="26.85" hidden="false" customHeight="false" outlineLevel="0" collapsed="false">
      <c r="A5" s="8" t="n">
        <v>4</v>
      </c>
      <c r="B5" s="8" t="s">
        <v>61</v>
      </c>
      <c r="C5" s="8" t="s">
        <v>62</v>
      </c>
      <c r="D5" s="8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2026-10-03T07:13:19Z</dcterms:created>
  <dc:creator>openpyxl</dc:creator>
  <dc:description/>
  <dc:language>en-US</dc:language>
  <cp:lastModifiedBy/>
  <dcterms:modified xsi:type="dcterms:W3CDTF">2026-10-03T07:13:19Z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